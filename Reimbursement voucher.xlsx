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hancapital-my.sharepoint.com/personal/dawn_koh_tahancapital_com/Documents/Desktop/"/>
    </mc:Choice>
  </mc:AlternateContent>
  <xr:revisionPtr revIDLastSave="0" documentId="8_{1D256331-7C27-4595-881B-84DAE4B88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nk " sheetId="6" r:id="rId1"/>
    <sheet name="Cabs" sheetId="5" r:id="rId2"/>
  </sheets>
  <definedNames>
    <definedName name="_xlnm.Print_Area" localSheetId="0">'Blank '!$A$1:$E$52</definedName>
    <definedName name="_xlnm.Print_Area" localSheetId="1">Cabs!$A$1:$E$46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7" i="6" l="1"/>
  <c r="J45" i="6"/>
  <c r="I45" i="6"/>
  <c r="E32" i="6"/>
  <c r="D30" i="6"/>
  <c r="E30" i="6" s="1"/>
  <c r="D26" i="6"/>
  <c r="E26" i="6" s="1"/>
  <c r="D24" i="6"/>
  <c r="E24" i="6" s="1"/>
  <c r="D22" i="6"/>
  <c r="E22" i="6" s="1"/>
  <c r="D16" i="6"/>
  <c r="E16" i="6"/>
  <c r="E34" i="6"/>
  <c r="C20" i="6"/>
  <c r="D20" i="6" s="1"/>
  <c r="E20" i="6" s="1"/>
  <c r="C14" i="6"/>
  <c r="D14" i="6" l="1"/>
  <c r="E14" i="6" s="1"/>
  <c r="E9" i="5"/>
  <c r="E36" i="6" l="1"/>
  <c r="D42" i="6" l="1"/>
  <c r="D40" i="6"/>
  <c r="E40" i="6" s="1"/>
  <c r="B48" i="5"/>
  <c r="E42" i="6"/>
  <c r="F16" i="6" l="1"/>
  <c r="F14" i="6"/>
  <c r="E43" i="5" l="1"/>
  <c r="E41" i="5"/>
  <c r="E39" i="5"/>
  <c r="E37" i="5"/>
  <c r="E35" i="5"/>
  <c r="E33" i="5"/>
  <c r="E31" i="5"/>
  <c r="E29" i="5"/>
  <c r="E27" i="5"/>
  <c r="E25" i="5"/>
  <c r="E23" i="5"/>
  <c r="E21" i="5"/>
  <c r="E19" i="5"/>
  <c r="E13" i="5"/>
  <c r="E17" i="5"/>
  <c r="E15" i="5"/>
  <c r="E11" i="5" l="1"/>
  <c r="E45" i="5" s="1"/>
  <c r="F9" i="5" l="1"/>
  <c r="F43" i="5"/>
  <c r="F39" i="5"/>
  <c r="F41" i="5"/>
  <c r="F29" i="5"/>
  <c r="F37" i="5"/>
  <c r="F35" i="5"/>
  <c r="F33" i="5"/>
  <c r="F31" i="5"/>
  <c r="F23" i="5"/>
  <c r="F27" i="5"/>
  <c r="F25" i="5"/>
  <c r="F21" i="5"/>
  <c r="F19" i="5"/>
  <c r="F15" i="5"/>
  <c r="F17" i="5"/>
  <c r="F13" i="5"/>
  <c r="F11" i="5"/>
  <c r="A48" i="5" l="1"/>
  <c r="D18" i="6" l="1"/>
  <c r="E18" i="6" s="1"/>
  <c r="F24" i="6" l="1"/>
  <c r="F22" i="6"/>
  <c r="F26" i="6"/>
  <c r="F18" i="6"/>
  <c r="F20" i="6"/>
  <c r="D28" i="6"/>
  <c r="E28" i="6" s="1"/>
  <c r="F32" i="6" s="1"/>
  <c r="F30" i="6" l="1"/>
  <c r="F40" i="6"/>
  <c r="F34" i="6"/>
  <c r="F28" i="6"/>
  <c r="E44" i="6"/>
  <c r="A47" i="6" s="1"/>
  <c r="F42" i="6"/>
  <c r="F36" i="6"/>
</calcChain>
</file>

<file path=xl/sharedStrings.xml><?xml version="1.0" encoding="utf-8"?>
<sst xmlns="http://schemas.openxmlformats.org/spreadsheetml/2006/main" count="58" uniqueCount="40">
  <si>
    <t>Date  :</t>
  </si>
  <si>
    <t xml:space="preserve">Amount </t>
  </si>
  <si>
    <t>Total Amount</t>
  </si>
  <si>
    <t>Description</t>
  </si>
  <si>
    <t>Charged To</t>
  </si>
  <si>
    <t>( Ex GST )</t>
  </si>
  <si>
    <t>( Inc GST )</t>
  </si>
  <si>
    <t>Total  in Singapore Dollars</t>
  </si>
  <si>
    <t>Submitted &amp; Received By  :</t>
  </si>
  <si>
    <t>Authorized &amp; Verified By  :</t>
  </si>
  <si>
    <t>TAHAN CAPITAL MANAGEMENT PTE. LTD.</t>
  </si>
  <si>
    <t>SGD</t>
  </si>
  <si>
    <t>GST</t>
  </si>
  <si>
    <t>Reimbursement Voucher</t>
  </si>
  <si>
    <t xml:space="preserve"> </t>
  </si>
  <si>
    <t>Cheque No.  : Direct Credit</t>
  </si>
  <si>
    <t>9%</t>
  </si>
  <si>
    <r>
      <t xml:space="preserve">Payable to  :         </t>
    </r>
    <r>
      <rPr>
        <sz val="12"/>
        <rFont val="Arial"/>
        <family val="2"/>
      </rPr>
      <t>Dawn Koh</t>
    </r>
  </si>
  <si>
    <t>Cabs fares</t>
  </si>
  <si>
    <t>Direct Credit</t>
  </si>
  <si>
    <t>Being reimbursement of :  Apr 2026</t>
  </si>
  <si>
    <t>10-17. Transport claims - refer breakdown attached</t>
  </si>
  <si>
    <t>TRANSPORT</t>
  </si>
  <si>
    <t>8. Investor coffee Apr 20 (HNW )</t>
  </si>
  <si>
    <t>6. Small group session lunch Apr 9</t>
  </si>
  <si>
    <t xml:space="preserve">7. Small group session drinks Apr 9  </t>
  </si>
  <si>
    <t xml:space="preserve">5. Investor coffee Apr 8 </t>
  </si>
  <si>
    <t xml:space="preserve">4. Investor lunch Apr 6 </t>
  </si>
  <si>
    <t xml:space="preserve">2. Investor lunch Mar 31 </t>
  </si>
  <si>
    <t xml:space="preserve">1. Investor coffee Mar 30 </t>
  </si>
  <si>
    <t xml:space="preserve">9. Investor coffee Apr 28 </t>
  </si>
  <si>
    <t xml:space="preserve">3. Small group session snacks  </t>
  </si>
  <si>
    <t xml:space="preserve">12. Taxi Mar 31: Office to UOB Plaza </t>
  </si>
  <si>
    <t xml:space="preserve">11. Taxi Mar 30: The Standard Hotel to Office </t>
  </si>
  <si>
    <t xml:space="preserve">10. Taxi Mar 30: Office to The Standard Hotel </t>
  </si>
  <si>
    <t xml:space="preserve">13. Taxi Apr 2: Office to Triple One Somerset </t>
  </si>
  <si>
    <t>14. Taxi Apr 6: Office to SLF Office</t>
  </si>
  <si>
    <t>15. Taxi Apr 6: SLF Office to Office</t>
  </si>
  <si>
    <t>16. Grab Apr 2: Triple One Somerset to Office</t>
  </si>
  <si>
    <t xml:space="preserve">17. Grab Mar 31: UOB Plaza to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</si>
</sst>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d\ mmm\ yyyy"/>
    <numFmt numFmtId="166" formatCode="0_);\(0\)"/>
    <numFmt numFmtId="167" formatCode="&quot;$&quot;#,##0.00"/>
  </numFmts>
  <fonts count="1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Garamond"/>
      <family val="1"/>
    </font>
    <font>
      <sz val="16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164" fontId="0" fillId="0" borderId="0" xfId="1" applyFont="1"/>
    <xf numFmtId="164" fontId="2" fillId="0" borderId="0" xfId="1" applyFont="1"/>
    <xf numFmtId="0" fontId="3" fillId="0" borderId="0" xfId="0" applyFont="1"/>
    <xf numFmtId="164" fontId="3" fillId="0" borderId="0" xfId="1" applyFont="1"/>
    <xf numFmtId="0" fontId="3" fillId="0" borderId="2" xfId="0" applyFont="1" applyBorder="1" applyAlignment="1">
      <alignment horizontal="center"/>
    </xf>
    <xf numFmtId="164" fontId="3" fillId="0" borderId="3" xfId="1" applyFont="1" applyBorder="1" applyAlignment="1">
      <alignment horizontal="center"/>
    </xf>
    <xf numFmtId="164" fontId="3" fillId="0" borderId="4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6" xfId="1" applyFont="1" applyBorder="1" applyAlignment="1">
      <alignment horizontal="center"/>
    </xf>
    <xf numFmtId="164" fontId="3" fillId="0" borderId="7" xfId="1" applyFont="1" applyBorder="1" applyAlignment="1">
      <alignment horizontal="center"/>
    </xf>
    <xf numFmtId="0" fontId="0" fillId="0" borderId="8" xfId="0" applyBorder="1"/>
    <xf numFmtId="164" fontId="0" fillId="0" borderId="10" xfId="1" applyFont="1" applyBorder="1"/>
    <xf numFmtId="0" fontId="0" fillId="0" borderId="5" xfId="0" applyBorder="1"/>
    <xf numFmtId="164" fontId="0" fillId="0" borderId="7" xfId="1" applyFont="1" applyBorder="1"/>
    <xf numFmtId="0" fontId="3" fillId="0" borderId="8" xfId="0" applyFont="1" applyBorder="1"/>
    <xf numFmtId="164" fontId="3" fillId="0" borderId="10" xfId="1" applyFont="1" applyBorder="1"/>
    <xf numFmtId="164" fontId="0" fillId="0" borderId="11" xfId="1" applyFont="1" applyBorder="1"/>
    <xf numFmtId="164" fontId="0" fillId="0" borderId="1" xfId="1" applyFont="1" applyBorder="1"/>
    <xf numFmtId="0" fontId="3" fillId="0" borderId="8" xfId="0" applyFont="1" applyBorder="1" applyAlignment="1">
      <alignment horizontal="center"/>
    </xf>
    <xf numFmtId="164" fontId="3" fillId="0" borderId="9" xfId="1" applyFont="1" applyBorder="1" applyAlignment="1">
      <alignment horizontal="center"/>
    </xf>
    <xf numFmtId="164" fontId="3" fillId="0" borderId="10" xfId="1" applyFont="1" applyBorder="1" applyAlignment="1">
      <alignment horizontal="center"/>
    </xf>
    <xf numFmtId="164" fontId="3" fillId="0" borderId="3" xfId="1" quotePrefix="1" applyFont="1" applyBorder="1" applyAlignment="1">
      <alignment horizontal="center"/>
    </xf>
    <xf numFmtId="164" fontId="7" fillId="0" borderId="0" xfId="1" applyFont="1"/>
    <xf numFmtId="0" fontId="5" fillId="0" borderId="0" xfId="0" applyFont="1"/>
    <xf numFmtId="0" fontId="6" fillId="0" borderId="0" xfId="0" applyFont="1"/>
    <xf numFmtId="164" fontId="6" fillId="0" borderId="0" xfId="1" applyFont="1"/>
    <xf numFmtId="0" fontId="1" fillId="0" borderId="0" xfId="0" applyFont="1"/>
    <xf numFmtId="0" fontId="2" fillId="0" borderId="1" xfId="0" applyFont="1" applyBorder="1" applyAlignment="1">
      <alignment wrapText="1"/>
    </xf>
    <xf numFmtId="165" fontId="2" fillId="0" borderId="1" xfId="1" applyNumberFormat="1" applyFont="1" applyBorder="1"/>
    <xf numFmtId="164" fontId="0" fillId="0" borderId="0" xfId="0" applyNumberFormat="1"/>
    <xf numFmtId="164" fontId="3" fillId="0" borderId="0" xfId="0" applyNumberFormat="1" applyFont="1"/>
    <xf numFmtId="39" fontId="3" fillId="0" borderId="0" xfId="0" applyNumberFormat="1" applyFont="1"/>
    <xf numFmtId="0" fontId="2" fillId="0" borderId="1" xfId="0" applyFont="1" applyBorder="1"/>
    <xf numFmtId="0" fontId="10" fillId="0" borderId="8" xfId="0" applyFont="1" applyBorder="1"/>
    <xf numFmtId="164" fontId="10" fillId="0" borderId="9" xfId="1" applyFont="1" applyBorder="1"/>
    <xf numFmtId="164" fontId="10" fillId="0" borderId="10" xfId="1" applyFont="1" applyBorder="1"/>
    <xf numFmtId="0" fontId="10" fillId="0" borderId="5" xfId="0" applyFont="1" applyBorder="1"/>
    <xf numFmtId="164" fontId="10" fillId="0" borderId="6" xfId="1" applyFont="1" applyBorder="1"/>
    <xf numFmtId="164" fontId="10" fillId="0" borderId="7" xfId="1" applyFont="1" applyBorder="1"/>
    <xf numFmtId="164" fontId="10" fillId="0" borderId="9" xfId="1" applyFont="1" applyFill="1" applyBorder="1"/>
    <xf numFmtId="164" fontId="10" fillId="0" borderId="10" xfId="1" applyFont="1" applyFill="1" applyBorder="1"/>
    <xf numFmtId="164" fontId="10" fillId="0" borderId="6" xfId="1" applyFont="1" applyFill="1" applyBorder="1"/>
    <xf numFmtId="164" fontId="10" fillId="0" borderId="7" xfId="1" applyFont="1" applyFill="1" applyBorder="1"/>
    <xf numFmtId="0" fontId="10" fillId="0" borderId="6" xfId="0" applyFont="1" applyBorder="1"/>
    <xf numFmtId="40" fontId="10" fillId="0" borderId="6" xfId="1" applyNumberFormat="1" applyFont="1" applyFill="1" applyBorder="1"/>
    <xf numFmtId="40" fontId="10" fillId="0" borderId="7" xfId="1" applyNumberFormat="1" applyFont="1" applyFill="1" applyBorder="1"/>
    <xf numFmtId="0" fontId="10" fillId="0" borderId="8" xfId="0" applyFont="1" applyBorder="1" applyAlignment="1">
      <alignment horizontal="center"/>
    </xf>
    <xf numFmtId="164" fontId="10" fillId="0" borderId="3" xfId="1" applyFont="1" applyFill="1" applyBorder="1"/>
    <xf numFmtId="0" fontId="9" fillId="0" borderId="0" xfId="0" applyFont="1"/>
    <xf numFmtId="0" fontId="10" fillId="0" borderId="5" xfId="0" applyFont="1" applyBorder="1" applyAlignment="1">
      <alignment horizontal="center"/>
    </xf>
    <xf numFmtId="167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wrapText="1"/>
    </xf>
    <xf numFmtId="164" fontId="1" fillId="0" borderId="0" xfId="0" applyNumberFormat="1" applyFont="1"/>
    <xf numFmtId="164" fontId="0" fillId="0" borderId="6" xfId="1" applyFont="1" applyFill="1" applyBorder="1"/>
    <xf numFmtId="164" fontId="0" fillId="0" borderId="7" xfId="1" applyFont="1" applyFill="1" applyBorder="1"/>
    <xf numFmtId="164" fontId="0" fillId="0" borderId="9" xfId="1" applyFont="1" applyFill="1" applyBorder="1"/>
    <xf numFmtId="164" fontId="2" fillId="0" borderId="10" xfId="1" applyFont="1" applyFill="1" applyBorder="1"/>
    <xf numFmtId="164" fontId="0" fillId="0" borderId="11" xfId="1" applyFont="1" applyFill="1" applyBorder="1"/>
    <xf numFmtId="164" fontId="0" fillId="0" borderId="2" xfId="1" applyFont="1" applyFill="1" applyBorder="1"/>
    <xf numFmtId="164" fontId="0" fillId="0" borderId="10" xfId="1" applyFont="1" applyFill="1" applyBorder="1"/>
    <xf numFmtId="4" fontId="2" fillId="0" borderId="8" xfId="0" applyNumberFormat="1" applyFont="1" applyBorder="1"/>
    <xf numFmtId="0" fontId="8" fillId="0" borderId="8" xfId="0" applyFont="1" applyBorder="1" applyAlignment="1">
      <alignment horizontal="left"/>
    </xf>
    <xf numFmtId="164" fontId="8" fillId="0" borderId="0" xfId="1" applyFont="1" applyFill="1"/>
    <xf numFmtId="164" fontId="2" fillId="0" borderId="8" xfId="1" applyFont="1" applyFill="1" applyBorder="1"/>
    <xf numFmtId="166" fontId="8" fillId="0" borderId="10" xfId="1" quotePrefix="1" applyNumberFormat="1" applyFont="1" applyFill="1" applyBorder="1" applyAlignment="1">
      <alignment horizontal="center"/>
    </xf>
    <xf numFmtId="164" fontId="0" fillId="0" borderId="1" xfId="1" applyFont="1" applyFill="1" applyBorder="1"/>
    <xf numFmtId="164" fontId="0" fillId="0" borderId="5" xfId="1" applyFont="1" applyFill="1" applyBorder="1"/>
    <xf numFmtId="0" fontId="11" fillId="0" borderId="0" xfId="0" applyFont="1"/>
    <xf numFmtId="164" fontId="11" fillId="0" borderId="0" xfId="1" applyFont="1"/>
    <xf numFmtId="164" fontId="0" fillId="0" borderId="3" xfId="1" applyFont="1" applyFill="1" applyBorder="1"/>
    <xf numFmtId="167" fontId="10" fillId="0" borderId="8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left" wrapText="1"/>
    </xf>
    <xf numFmtId="0" fontId="0" fillId="0" borderId="10" xfId="0" applyBorder="1" applyAlignment="1">
      <alignment wrapText="1"/>
    </xf>
  </cellXfs>
  <cellStyles count="4">
    <cellStyle name="Comma" xfId="1" builtinId="3"/>
    <cellStyle name="Comma 2" xfId="2" xr:uid="{00000000-0005-0000-0000-00002F000000}"/>
    <cellStyle name="Normal" xfId="0" builtinId="0"/>
    <cellStyle name="Normal 2" xfId="3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AFC6-90EA-484E-90E8-736E53E46332}">
  <dimension ref="A1:N52"/>
  <sheetViews>
    <sheetView tabSelected="1" zoomScaleNormal="100" workbookViewId="0">
      <selection activeCell="D57" sqref="D57"/>
    </sheetView>
  </sheetViews>
  <sheetFormatPr defaultRowHeight="13.2" x14ac:dyDescent="0.25"/>
  <cols>
    <col min="1" max="1" width="67.109375" customWidth="1"/>
    <col min="2" max="2" width="21.33203125" customWidth="1"/>
    <col min="3" max="3" width="12.44140625" style="1" customWidth="1"/>
    <col min="4" max="4" width="16.5546875" style="1" customWidth="1"/>
    <col min="5" max="5" width="16.6640625" style="1" customWidth="1"/>
    <col min="6" max="6" width="9.44140625" bestFit="1" customWidth="1"/>
    <col min="7" max="7" width="11.109375" customWidth="1"/>
    <col min="8" max="8" width="9.5546875" bestFit="1" customWidth="1"/>
    <col min="9" max="9" width="12.44140625" bestFit="1" customWidth="1"/>
  </cols>
  <sheetData>
    <row r="1" spans="1:14" x14ac:dyDescent="0.25">
      <c r="A1" t="s">
        <v>14</v>
      </c>
      <c r="B1" s="28"/>
    </row>
    <row r="2" spans="1:14" s="26" customFormat="1" ht="21" x14ac:dyDescent="0.4">
      <c r="A2" s="25" t="s">
        <v>10</v>
      </c>
      <c r="C2" s="27"/>
      <c r="D2" s="27"/>
      <c r="E2" s="27"/>
    </row>
    <row r="3" spans="1:14" ht="15.6" x14ac:dyDescent="0.3">
      <c r="D3" s="2" t="s">
        <v>13</v>
      </c>
      <c r="E3" s="2"/>
    </row>
    <row r="4" spans="1:14" ht="15.6" x14ac:dyDescent="0.3">
      <c r="D4" s="24"/>
      <c r="E4" s="2"/>
    </row>
    <row r="6" spans="1:14" s="3" customFormat="1" ht="24.75" customHeight="1" x14ac:dyDescent="0.3">
      <c r="A6" s="34" t="s">
        <v>17</v>
      </c>
      <c r="C6" s="4" t="s">
        <v>0</v>
      </c>
      <c r="D6" s="30">
        <v>46141</v>
      </c>
      <c r="E6" s="29"/>
      <c r="L6" s="33"/>
      <c r="M6" s="32"/>
    </row>
    <row r="9" spans="1:14" s="8" customFormat="1" x14ac:dyDescent="0.25">
      <c r="A9" s="5"/>
      <c r="B9" s="5"/>
      <c r="C9" s="6" t="s">
        <v>1</v>
      </c>
      <c r="D9" s="23" t="s">
        <v>16</v>
      </c>
      <c r="E9" s="7" t="s">
        <v>2</v>
      </c>
    </row>
    <row r="10" spans="1:14" s="8" customFormat="1" x14ac:dyDescent="0.25">
      <c r="A10" s="20"/>
      <c r="B10" s="20"/>
      <c r="C10" s="21" t="s">
        <v>5</v>
      </c>
      <c r="D10" s="21" t="s">
        <v>12</v>
      </c>
      <c r="E10" s="22" t="s">
        <v>6</v>
      </c>
    </row>
    <row r="11" spans="1:14" s="8" customFormat="1" x14ac:dyDescent="0.25">
      <c r="A11" s="9" t="s">
        <v>3</v>
      </c>
      <c r="B11" s="9" t="s">
        <v>4</v>
      </c>
      <c r="C11" s="10" t="s">
        <v>11</v>
      </c>
      <c r="D11" s="10" t="s">
        <v>11</v>
      </c>
      <c r="E11" s="11" t="s">
        <v>11</v>
      </c>
    </row>
    <row r="12" spans="1:14" ht="15" x14ac:dyDescent="0.25">
      <c r="A12" s="35" t="s">
        <v>20</v>
      </c>
      <c r="B12" s="35"/>
      <c r="C12" s="36"/>
      <c r="D12" s="36"/>
      <c r="E12" s="37"/>
    </row>
    <row r="13" spans="1:14" ht="15" x14ac:dyDescent="0.25">
      <c r="A13" s="45"/>
      <c r="B13" s="38"/>
      <c r="C13" s="39"/>
      <c r="D13" s="39"/>
      <c r="E13" s="40"/>
      <c r="H13" s="31"/>
    </row>
    <row r="14" spans="1:14" ht="15.6" x14ac:dyDescent="0.3">
      <c r="A14" s="35" t="s">
        <v>29</v>
      </c>
      <c r="B14" s="48">
        <v>61340</v>
      </c>
      <c r="C14" s="49">
        <f>21+2.1</f>
        <v>23.1</v>
      </c>
      <c r="D14" s="41">
        <f>ROUND(C14*9%,2)</f>
        <v>2.08</v>
      </c>
      <c r="E14" s="42">
        <f>C14+D14</f>
        <v>25.18</v>
      </c>
      <c r="F14" s="31">
        <f>SUM($E$14:E14)</f>
        <v>25.18</v>
      </c>
      <c r="G14" s="31"/>
      <c r="I14" s="28"/>
      <c r="J14" s="50"/>
    </row>
    <row r="15" spans="1:14" ht="15" x14ac:dyDescent="0.25">
      <c r="A15" s="38"/>
      <c r="B15" s="51"/>
      <c r="C15" s="43"/>
      <c r="D15" s="43"/>
      <c r="E15" s="44"/>
      <c r="F15" s="31"/>
      <c r="G15" s="31"/>
      <c r="I15" s="28"/>
      <c r="M15" s="31"/>
      <c r="N15" s="31"/>
    </row>
    <row r="16" spans="1:14" ht="15.6" x14ac:dyDescent="0.3">
      <c r="A16" s="35" t="s">
        <v>28</v>
      </c>
      <c r="B16" s="48">
        <v>61340</v>
      </c>
      <c r="C16" s="49">
        <v>303.99</v>
      </c>
      <c r="D16" s="41">
        <f>ROUND(C16*9%,2)</f>
        <v>27.36</v>
      </c>
      <c r="E16" s="42">
        <f>SUM(C16:D16)</f>
        <v>331.35</v>
      </c>
      <c r="F16" s="31">
        <f>SUM($E$14:E16)</f>
        <v>356.53000000000003</v>
      </c>
      <c r="G16" s="31"/>
      <c r="I16" s="28"/>
      <c r="J16" s="50"/>
    </row>
    <row r="17" spans="1:14" ht="15" x14ac:dyDescent="0.25">
      <c r="A17" s="38"/>
      <c r="B17" s="52"/>
      <c r="C17" s="43"/>
      <c r="D17" s="43"/>
      <c r="E17" s="44"/>
      <c r="F17" s="31"/>
      <c r="G17" s="31"/>
      <c r="I17" s="28"/>
      <c r="M17" s="31"/>
      <c r="N17" s="31"/>
    </row>
    <row r="18" spans="1:14" ht="15.6" x14ac:dyDescent="0.3">
      <c r="A18" s="35" t="s">
        <v>31</v>
      </c>
      <c r="B18" s="48">
        <v>61340</v>
      </c>
      <c r="C18" s="41">
        <v>16.61</v>
      </c>
      <c r="D18" s="41">
        <f>ROUND(C18*9%,2)</f>
        <v>1.49</v>
      </c>
      <c r="E18" s="42">
        <f>D18+C18</f>
        <v>18.099999999999998</v>
      </c>
      <c r="F18" s="31">
        <f>SUM($E$14:E18)</f>
        <v>374.63000000000005</v>
      </c>
      <c r="G18" s="31"/>
      <c r="I18" s="28"/>
      <c r="J18" s="50"/>
    </row>
    <row r="19" spans="1:14" ht="15" x14ac:dyDescent="0.25">
      <c r="A19" s="38" t="s">
        <v>14</v>
      </c>
      <c r="B19" s="51"/>
      <c r="C19" s="43"/>
      <c r="D19" s="43"/>
      <c r="E19" s="44"/>
      <c r="F19" s="31"/>
      <c r="G19" s="31"/>
      <c r="I19" s="28"/>
      <c r="M19" s="31"/>
      <c r="N19" s="31"/>
    </row>
    <row r="20" spans="1:14" ht="15.6" x14ac:dyDescent="0.3">
      <c r="A20" s="35" t="s">
        <v>27</v>
      </c>
      <c r="B20" s="48">
        <v>61340</v>
      </c>
      <c r="C20" s="41">
        <f>62.9+6.29</f>
        <v>69.19</v>
      </c>
      <c r="D20" s="41">
        <f>ROUND(C20*9%,2)</f>
        <v>6.23</v>
      </c>
      <c r="E20" s="42">
        <f>D20+C20</f>
        <v>75.42</v>
      </c>
      <c r="F20" s="31">
        <f>SUM($E$14:E20)</f>
        <v>450.05000000000007</v>
      </c>
      <c r="G20" s="31"/>
      <c r="I20" s="28"/>
      <c r="J20" s="50"/>
    </row>
    <row r="21" spans="1:14" ht="15.6" x14ac:dyDescent="0.3">
      <c r="A21" s="38"/>
      <c r="B21" s="51"/>
      <c r="C21" s="43"/>
      <c r="D21" s="43"/>
      <c r="E21" s="43"/>
      <c r="F21" s="31"/>
      <c r="G21" s="31"/>
      <c r="I21" s="28"/>
      <c r="J21" s="50"/>
    </row>
    <row r="22" spans="1:14" ht="15.6" x14ac:dyDescent="0.3">
      <c r="A22" s="35" t="s">
        <v>26</v>
      </c>
      <c r="B22" s="48">
        <v>61340</v>
      </c>
      <c r="C22" s="41">
        <v>14.4</v>
      </c>
      <c r="D22" s="41">
        <f>ROUND(C22*9%,2)</f>
        <v>1.3</v>
      </c>
      <c r="E22" s="42">
        <f>D22+C22</f>
        <v>15.700000000000001</v>
      </c>
      <c r="F22" s="31">
        <f>SUM($E$14:E22)</f>
        <v>465.75000000000006</v>
      </c>
      <c r="G22" s="31"/>
      <c r="H22" s="28"/>
      <c r="I22" s="28"/>
      <c r="J22" s="50"/>
    </row>
    <row r="23" spans="1:14" ht="15" x14ac:dyDescent="0.25">
      <c r="A23" s="38"/>
      <c r="B23" s="52"/>
      <c r="C23" s="43"/>
      <c r="D23" s="46"/>
      <c r="E23" s="47"/>
      <c r="F23" s="31"/>
      <c r="G23" s="31"/>
      <c r="I23" s="54"/>
      <c r="M23" s="31"/>
      <c r="N23" s="31"/>
    </row>
    <row r="24" spans="1:14" ht="15.6" x14ac:dyDescent="0.3">
      <c r="A24" s="35" t="s">
        <v>24</v>
      </c>
      <c r="B24" s="48">
        <v>61340</v>
      </c>
      <c r="C24" s="41">
        <v>120.4</v>
      </c>
      <c r="D24" s="41">
        <f>ROUND(C24*9%,2)</f>
        <v>10.84</v>
      </c>
      <c r="E24" s="42">
        <f>D24+C24</f>
        <v>131.24</v>
      </c>
      <c r="F24" s="31">
        <f>SUM($E$14:E24)</f>
        <v>596.99</v>
      </c>
      <c r="G24" s="31"/>
      <c r="J24" s="50"/>
    </row>
    <row r="25" spans="1:14" ht="15.6" x14ac:dyDescent="0.3">
      <c r="A25" s="38"/>
      <c r="B25" s="52"/>
      <c r="C25" s="43"/>
      <c r="D25" s="43"/>
      <c r="E25" s="44"/>
      <c r="F25" s="31"/>
      <c r="G25" s="31"/>
      <c r="I25" s="28"/>
      <c r="J25" s="50"/>
    </row>
    <row r="26" spans="1:14" ht="15.6" x14ac:dyDescent="0.3">
      <c r="A26" s="35" t="s">
        <v>25</v>
      </c>
      <c r="B26" s="48">
        <v>61340</v>
      </c>
      <c r="C26" s="41">
        <v>5.96</v>
      </c>
      <c r="D26" s="41">
        <f>ROUND(C26*9%,2)</f>
        <v>0.54</v>
      </c>
      <c r="E26" s="42">
        <f>D26+C26</f>
        <v>6.5</v>
      </c>
      <c r="F26" s="31">
        <f>SUM($E$14:E26)</f>
        <v>603.49</v>
      </c>
      <c r="G26" s="31"/>
      <c r="I26" s="28"/>
      <c r="J26" s="50"/>
    </row>
    <row r="27" spans="1:14" ht="15.6" x14ac:dyDescent="0.3">
      <c r="A27" s="38"/>
      <c r="B27" s="51"/>
      <c r="C27" s="43"/>
      <c r="D27" s="43"/>
      <c r="E27" s="44"/>
      <c r="F27" s="31"/>
      <c r="G27" s="31"/>
      <c r="I27" s="28"/>
      <c r="J27" s="50"/>
    </row>
    <row r="28" spans="1:14" ht="15.6" x14ac:dyDescent="0.3">
      <c r="A28" s="35" t="s">
        <v>23</v>
      </c>
      <c r="B28" s="48">
        <v>61340</v>
      </c>
      <c r="C28" s="41">
        <v>6.61</v>
      </c>
      <c r="D28" s="41">
        <f>ROUND(C28*9%,2)</f>
        <v>0.59</v>
      </c>
      <c r="E28" s="42">
        <f>D28+C28</f>
        <v>7.2</v>
      </c>
      <c r="F28" s="31">
        <f>SUM($E$14:E28)</f>
        <v>610.69000000000005</v>
      </c>
      <c r="I28" s="28"/>
      <c r="J28" s="50"/>
    </row>
    <row r="29" spans="1:14" ht="15.6" x14ac:dyDescent="0.3">
      <c r="A29" s="53"/>
      <c r="B29" s="51"/>
      <c r="C29" s="43"/>
      <c r="D29" s="43"/>
      <c r="E29" s="44"/>
      <c r="F29" s="31"/>
      <c r="G29" s="31"/>
      <c r="I29" s="28"/>
      <c r="J29" s="50"/>
      <c r="M29" s="31"/>
      <c r="N29" s="31"/>
    </row>
    <row r="30" spans="1:14" ht="15.6" x14ac:dyDescent="0.3">
      <c r="A30" s="35" t="s">
        <v>30</v>
      </c>
      <c r="B30" s="48">
        <v>61340</v>
      </c>
      <c r="C30" s="41">
        <v>12.39</v>
      </c>
      <c r="D30" s="41">
        <f>ROUND(C30*9%,2)-0.01</f>
        <v>1.1100000000000001</v>
      </c>
      <c r="E30" s="42">
        <f>D30+C30</f>
        <v>13.5</v>
      </c>
      <c r="F30" s="31">
        <f>SUM($E$14:E30)</f>
        <v>624.19000000000005</v>
      </c>
      <c r="I30" s="28"/>
      <c r="J30" s="50"/>
      <c r="K30" s="31"/>
    </row>
    <row r="31" spans="1:14" ht="15.6" x14ac:dyDescent="0.3">
      <c r="A31" s="38"/>
      <c r="B31" s="51"/>
      <c r="C31" s="43"/>
      <c r="D31" s="43"/>
      <c r="E31" s="44"/>
      <c r="F31" s="31"/>
      <c r="G31" s="31"/>
      <c r="I31" s="28"/>
      <c r="J31" s="50"/>
      <c r="M31" s="31"/>
      <c r="N31" s="31"/>
    </row>
    <row r="32" spans="1:14" ht="15" x14ac:dyDescent="0.25">
      <c r="A32" s="35"/>
      <c r="B32" s="48"/>
      <c r="C32" s="49"/>
      <c r="D32" s="41"/>
      <c r="E32" s="42">
        <f>D32+C32</f>
        <v>0</v>
      </c>
      <c r="F32" s="54">
        <f>SUM($E$14:E32)</f>
        <v>624.19000000000005</v>
      </c>
      <c r="I32" s="28"/>
      <c r="M32" s="31"/>
      <c r="N32" s="31"/>
    </row>
    <row r="33" spans="1:14" ht="15.6" x14ac:dyDescent="0.3">
      <c r="A33" s="73" t="s">
        <v>22</v>
      </c>
      <c r="B33" s="72"/>
      <c r="C33" s="41"/>
      <c r="D33" s="41"/>
      <c r="E33" s="42"/>
      <c r="F33" s="31"/>
      <c r="I33" s="28"/>
      <c r="M33" s="31"/>
      <c r="N33" s="31"/>
    </row>
    <row r="34" spans="1:14" ht="15.6" x14ac:dyDescent="0.3">
      <c r="A34" s="35" t="s">
        <v>21</v>
      </c>
      <c r="B34" s="48">
        <v>61700</v>
      </c>
      <c r="C34" s="41">
        <v>83.9</v>
      </c>
      <c r="D34" s="41">
        <v>0</v>
      </c>
      <c r="E34" s="42">
        <f>D34+C34</f>
        <v>83.9</v>
      </c>
      <c r="F34" s="31">
        <f>SUM($E$14:E34)</f>
        <v>708.09</v>
      </c>
      <c r="I34" s="28"/>
      <c r="J34" s="50"/>
    </row>
    <row r="35" spans="1:14" s="28" customFormat="1" ht="15.6" x14ac:dyDescent="0.3">
      <c r="A35" s="38"/>
      <c r="B35" s="51"/>
      <c r="C35" s="55"/>
      <c r="D35" s="55"/>
      <c r="E35" s="44"/>
      <c r="F35" s="54"/>
      <c r="J35" s="50"/>
    </row>
    <row r="36" spans="1:14" ht="15" x14ac:dyDescent="0.25">
      <c r="A36" s="35"/>
      <c r="B36" s="48"/>
      <c r="C36" s="49"/>
      <c r="D36" s="41"/>
      <c r="E36" s="42">
        <f>D36+C36</f>
        <v>0</v>
      </c>
      <c r="F36" s="54">
        <f>SUM($E$14:E36)</f>
        <v>708.09</v>
      </c>
      <c r="I36" s="28"/>
      <c r="M36" s="31"/>
      <c r="N36" s="31"/>
    </row>
    <row r="37" spans="1:14" ht="15" x14ac:dyDescent="0.25">
      <c r="A37" s="38"/>
      <c r="B37" s="52"/>
      <c r="C37" s="43"/>
      <c r="D37" s="43"/>
      <c r="E37" s="44"/>
      <c r="F37" s="31"/>
      <c r="I37" s="28"/>
      <c r="M37" s="31"/>
      <c r="N37" s="31"/>
    </row>
    <row r="38" spans="1:14" ht="15.6" x14ac:dyDescent="0.3">
      <c r="A38" s="35"/>
      <c r="B38" s="48"/>
      <c r="C38" s="49"/>
      <c r="D38" s="41"/>
      <c r="E38" s="42"/>
      <c r="F38" s="31"/>
      <c r="G38" s="31"/>
      <c r="I38" s="28"/>
      <c r="J38" s="50"/>
    </row>
    <row r="39" spans="1:14" ht="15" x14ac:dyDescent="0.25">
      <c r="A39" s="38"/>
      <c r="B39" s="14"/>
      <c r="C39" s="55"/>
      <c r="D39" s="55"/>
      <c r="E39" s="56"/>
      <c r="F39" s="31"/>
      <c r="G39" s="31"/>
      <c r="H39" s="31"/>
      <c r="I39" s="54"/>
    </row>
    <row r="40" spans="1:14" ht="15.6" x14ac:dyDescent="0.3">
      <c r="A40" s="35"/>
      <c r="B40" s="48"/>
      <c r="C40" s="41"/>
      <c r="D40" s="41">
        <f>0.09*C40</f>
        <v>0</v>
      </c>
      <c r="E40" s="42">
        <f>+C40+D40</f>
        <v>0</v>
      </c>
      <c r="F40" s="31">
        <f>SUM($E$14:E40)</f>
        <v>708.09</v>
      </c>
      <c r="I40" s="28"/>
      <c r="J40" s="50"/>
      <c r="K40" s="31"/>
    </row>
    <row r="41" spans="1:14" ht="15.6" x14ac:dyDescent="0.3">
      <c r="A41" s="38"/>
      <c r="B41" s="51"/>
      <c r="C41" s="43"/>
      <c r="D41" s="43"/>
      <c r="E41" s="44"/>
      <c r="F41" s="31"/>
      <c r="G41" s="31"/>
      <c r="I41" s="28"/>
      <c r="J41" s="50"/>
      <c r="M41" s="31"/>
      <c r="N41" s="31"/>
    </row>
    <row r="42" spans="1:14" ht="15.6" x14ac:dyDescent="0.3">
      <c r="A42" s="35"/>
      <c r="B42" s="48"/>
      <c r="C42" s="41"/>
      <c r="D42" s="41">
        <f>0.09*C42</f>
        <v>0</v>
      </c>
      <c r="E42" s="42">
        <f>+C42+D42</f>
        <v>0</v>
      </c>
      <c r="F42" s="31">
        <f>SUM($E$14:E42)</f>
        <v>708.09</v>
      </c>
      <c r="I42" s="28"/>
      <c r="J42" s="50"/>
    </row>
    <row r="43" spans="1:14" s="28" customFormat="1" ht="15.6" x14ac:dyDescent="0.3">
      <c r="A43" s="38"/>
      <c r="B43" s="51"/>
      <c r="C43" s="43"/>
      <c r="D43" s="43"/>
      <c r="E43" s="44"/>
      <c r="F43" s="54"/>
      <c r="J43" s="50"/>
    </row>
    <row r="44" spans="1:14" ht="15.6" x14ac:dyDescent="0.3">
      <c r="A44" s="16" t="s">
        <v>7</v>
      </c>
      <c r="B44" s="16"/>
      <c r="C44" s="57"/>
      <c r="D44" s="57"/>
      <c r="E44" s="58">
        <f>ROUND(SUM(E14:E43),2)</f>
        <v>708.09</v>
      </c>
    </row>
    <row r="45" spans="1:14" x14ac:dyDescent="0.25">
      <c r="A45" s="14"/>
      <c r="B45" s="14"/>
      <c r="C45" s="55"/>
      <c r="D45" s="57"/>
      <c r="E45" s="55"/>
      <c r="I45" s="31">
        <f>SUM(C14:C35)</f>
        <v>656.55000000000007</v>
      </c>
      <c r="J45" s="31">
        <f>SUM(D14:D30)</f>
        <v>51.54</v>
      </c>
    </row>
    <row r="46" spans="1:14" x14ac:dyDescent="0.25">
      <c r="A46" s="12"/>
      <c r="B46" s="12"/>
      <c r="C46" s="59"/>
      <c r="D46" s="60"/>
      <c r="E46" s="61"/>
    </row>
    <row r="47" spans="1:14" s="3" customFormat="1" ht="17.399999999999999" x14ac:dyDescent="0.3">
      <c r="A47" s="62" t="str">
        <f>+"Amount Paid  :  S$"&amp;E44&amp;""</f>
        <v>Amount Paid  :  S$708.09</v>
      </c>
      <c r="B47" s="63" t="str">
        <f ca="1">+MID(CELL("filename"),57,15)</f>
        <v>che\Content.Out</v>
      </c>
      <c r="C47" s="64"/>
      <c r="D47" s="65" t="s">
        <v>15</v>
      </c>
      <c r="E47" s="66"/>
    </row>
    <row r="48" spans="1:14" x14ac:dyDescent="0.25">
      <c r="A48" s="14"/>
      <c r="B48" s="14"/>
      <c r="C48" s="67"/>
      <c r="D48" s="68"/>
      <c r="E48" s="56"/>
    </row>
    <row r="49" spans="1:5" x14ac:dyDescent="0.25">
      <c r="A49" s="12"/>
      <c r="B49" s="12"/>
      <c r="C49" s="18"/>
      <c r="D49" s="18"/>
      <c r="E49" s="13"/>
    </row>
    <row r="50" spans="1:5" s="3" customFormat="1" x14ac:dyDescent="0.25">
      <c r="A50" s="16" t="s">
        <v>8</v>
      </c>
      <c r="B50" s="16" t="s">
        <v>9</v>
      </c>
      <c r="C50" s="4"/>
      <c r="D50" s="4"/>
      <c r="E50" s="17"/>
    </row>
    <row r="51" spans="1:5" s="3" customFormat="1" x14ac:dyDescent="0.25">
      <c r="A51" s="16"/>
      <c r="B51" s="16"/>
      <c r="C51" s="4"/>
      <c r="D51" s="4"/>
      <c r="E51" s="17"/>
    </row>
    <row r="52" spans="1:5" x14ac:dyDescent="0.25">
      <c r="A52" s="14"/>
      <c r="B52" s="14"/>
      <c r="C52" s="19"/>
      <c r="D52" s="19"/>
      <c r="E52" s="15"/>
    </row>
  </sheetData>
  <pageMargins left="0.74803149606299213" right="0" top="0.98425196850393704" bottom="0.74803149606299213" header="0.51181102362204722" footer="0.51181102362204722"/>
  <pageSetup paperSize="9" scale="62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opLeftCell="A8" zoomScaleNormal="100" workbookViewId="0">
      <selection activeCell="A24" sqref="A24"/>
    </sheetView>
  </sheetViews>
  <sheetFormatPr defaultRowHeight="13.2" x14ac:dyDescent="0.25"/>
  <cols>
    <col min="1" max="1" width="67.109375" customWidth="1"/>
    <col min="2" max="2" width="15.44140625" customWidth="1"/>
    <col min="3" max="3" width="12.44140625" style="1" customWidth="1"/>
    <col min="4" max="4" width="8.5546875" style="1" customWidth="1"/>
    <col min="5" max="5" width="16.6640625" style="1" customWidth="1"/>
    <col min="6" max="6" width="9.44140625" bestFit="1" customWidth="1"/>
    <col min="7" max="7" width="11.109375" customWidth="1"/>
    <col min="8" max="8" width="9.5546875" bestFit="1" customWidth="1"/>
    <col min="9" max="9" width="12.44140625" bestFit="1" customWidth="1"/>
  </cols>
  <sheetData>
    <row r="1" spans="1:14" s="69" customFormat="1" ht="24.6" x14ac:dyDescent="0.4">
      <c r="A1" s="69" t="s">
        <v>18</v>
      </c>
      <c r="C1" s="70"/>
      <c r="D1" s="70"/>
      <c r="E1" s="70"/>
    </row>
    <row r="4" spans="1:14" s="8" customFormat="1" x14ac:dyDescent="0.25">
      <c r="A4" s="5"/>
      <c r="B4" s="5"/>
      <c r="C4" s="6" t="s">
        <v>1</v>
      </c>
      <c r="D4" s="23" t="s">
        <v>16</v>
      </c>
      <c r="E4" s="7" t="s">
        <v>2</v>
      </c>
    </row>
    <row r="5" spans="1:14" s="8" customFormat="1" x14ac:dyDescent="0.25">
      <c r="A5" s="20"/>
      <c r="B5" s="20"/>
      <c r="C5" s="21" t="s">
        <v>5</v>
      </c>
      <c r="D5" s="21" t="s">
        <v>12</v>
      </c>
      <c r="E5" s="22" t="s">
        <v>6</v>
      </c>
    </row>
    <row r="6" spans="1:14" s="8" customFormat="1" x14ac:dyDescent="0.25">
      <c r="A6" s="9" t="s">
        <v>3</v>
      </c>
      <c r="B6" s="9" t="s">
        <v>4</v>
      </c>
      <c r="C6" s="10" t="s">
        <v>11</v>
      </c>
      <c r="D6" s="10" t="s">
        <v>11</v>
      </c>
      <c r="E6" s="11" t="s">
        <v>11</v>
      </c>
    </row>
    <row r="7" spans="1:14" ht="15.6" x14ac:dyDescent="0.3">
      <c r="A7" s="73" t="s">
        <v>20</v>
      </c>
      <c r="B7" s="35"/>
      <c r="C7" s="36"/>
      <c r="D7" s="36"/>
      <c r="E7" s="37"/>
    </row>
    <row r="8" spans="1:14" ht="15" x14ac:dyDescent="0.25">
      <c r="A8" s="45"/>
      <c r="B8" s="38"/>
      <c r="C8" s="39"/>
      <c r="D8" s="39"/>
      <c r="E8" s="40"/>
      <c r="H8" s="31"/>
    </row>
    <row r="9" spans="1:14" ht="15.6" x14ac:dyDescent="0.3">
      <c r="A9" s="35" t="s">
        <v>34</v>
      </c>
      <c r="B9" s="48">
        <v>61700</v>
      </c>
      <c r="C9" s="41">
        <v>11</v>
      </c>
      <c r="D9" s="41">
        <v>0</v>
      </c>
      <c r="E9" s="42">
        <f>+C9+D9</f>
        <v>11</v>
      </c>
      <c r="F9" s="31">
        <f>SUM($E$11:E16)</f>
        <v>32.5</v>
      </c>
      <c r="G9" s="31"/>
      <c r="I9" s="28"/>
      <c r="J9" s="50"/>
    </row>
    <row r="10" spans="1:14" ht="15" x14ac:dyDescent="0.25">
      <c r="A10" s="38"/>
      <c r="B10" s="14"/>
      <c r="C10" s="55"/>
      <c r="D10" s="55"/>
      <c r="E10" s="56"/>
      <c r="F10" s="31"/>
      <c r="G10" s="31"/>
      <c r="H10" s="31"/>
      <c r="I10" s="54"/>
    </row>
    <row r="11" spans="1:14" ht="15.6" x14ac:dyDescent="0.3">
      <c r="A11" s="35" t="s">
        <v>33</v>
      </c>
      <c r="B11" s="48">
        <v>61700</v>
      </c>
      <c r="C11" s="41">
        <v>10.1</v>
      </c>
      <c r="D11" s="41">
        <v>0</v>
      </c>
      <c r="E11" s="42">
        <f>+C11+D11</f>
        <v>10.1</v>
      </c>
      <c r="F11" s="31">
        <f>SUM($E$11:E11)</f>
        <v>10.1</v>
      </c>
      <c r="G11" s="31"/>
      <c r="I11" s="28"/>
      <c r="J11" s="50"/>
    </row>
    <row r="12" spans="1:14" ht="15" x14ac:dyDescent="0.25">
      <c r="A12" s="38"/>
      <c r="B12" s="14"/>
      <c r="C12" s="55"/>
      <c r="D12" s="55"/>
      <c r="E12" s="56"/>
      <c r="F12" s="31"/>
      <c r="G12" s="31"/>
      <c r="H12" s="31"/>
      <c r="I12" s="54"/>
    </row>
    <row r="13" spans="1:14" ht="15" customHeight="1" x14ac:dyDescent="0.25">
      <c r="A13" s="35" t="s">
        <v>32</v>
      </c>
      <c r="B13" s="48">
        <v>61700</v>
      </c>
      <c r="C13" s="41">
        <v>9.8000000000000007</v>
      </c>
      <c r="D13" s="41">
        <v>0</v>
      </c>
      <c r="E13" s="42">
        <f>+C13+D13</f>
        <v>9.8000000000000007</v>
      </c>
      <c r="F13" s="54">
        <f>SUM($E$11:E13)</f>
        <v>19.899999999999999</v>
      </c>
      <c r="I13" s="28"/>
      <c r="M13" s="31"/>
      <c r="N13" s="31"/>
    </row>
    <row r="14" spans="1:14" ht="15" x14ac:dyDescent="0.25">
      <c r="A14" s="38"/>
      <c r="B14" s="52"/>
      <c r="C14" s="43"/>
      <c r="D14" s="43"/>
      <c r="E14" s="44"/>
      <c r="F14" s="31"/>
      <c r="I14" s="28"/>
      <c r="M14" s="31"/>
      <c r="N14" s="31"/>
    </row>
    <row r="15" spans="1:14" ht="15" customHeight="1" x14ac:dyDescent="0.25">
      <c r="A15" s="35" t="s">
        <v>35</v>
      </c>
      <c r="B15" s="48">
        <v>61700</v>
      </c>
      <c r="C15" s="41">
        <v>12.6</v>
      </c>
      <c r="D15" s="41">
        <v>0</v>
      </c>
      <c r="E15" s="42">
        <f>+C15+D15</f>
        <v>12.6</v>
      </c>
      <c r="F15" s="54">
        <f>SUM($E$11:E15)</f>
        <v>32.5</v>
      </c>
      <c r="I15" s="28"/>
      <c r="M15" s="31"/>
      <c r="N15" s="31"/>
    </row>
    <row r="16" spans="1:14" ht="15" x14ac:dyDescent="0.25">
      <c r="A16" s="38"/>
      <c r="B16" s="51"/>
      <c r="C16" s="55"/>
      <c r="D16" s="55"/>
      <c r="E16" s="44"/>
      <c r="F16" s="31"/>
      <c r="I16" s="28"/>
      <c r="M16" s="31"/>
      <c r="N16" s="31"/>
    </row>
    <row r="17" spans="1:10" ht="15.6" x14ac:dyDescent="0.3">
      <c r="A17" s="35" t="s">
        <v>36</v>
      </c>
      <c r="B17" s="48">
        <v>61700</v>
      </c>
      <c r="C17" s="41">
        <v>9.8000000000000007</v>
      </c>
      <c r="D17" s="41">
        <v>0</v>
      </c>
      <c r="E17" s="42">
        <f>+C17+D17</f>
        <v>9.8000000000000007</v>
      </c>
      <c r="F17" s="31">
        <f>SUM($E$11:E17)</f>
        <v>42.3</v>
      </c>
      <c r="G17" s="31"/>
      <c r="I17" s="28"/>
      <c r="J17" s="50"/>
    </row>
    <row r="18" spans="1:10" ht="15" x14ac:dyDescent="0.25">
      <c r="A18" s="38"/>
      <c r="B18" s="14"/>
      <c r="C18" s="55"/>
      <c r="D18" s="55"/>
      <c r="E18" s="56"/>
      <c r="F18" s="31"/>
      <c r="G18" s="31"/>
      <c r="H18" s="31"/>
      <c r="I18" s="54"/>
    </row>
    <row r="19" spans="1:10" ht="15.6" x14ac:dyDescent="0.3">
      <c r="A19" s="35" t="s">
        <v>37</v>
      </c>
      <c r="B19" s="48">
        <v>61700</v>
      </c>
      <c r="C19" s="41">
        <v>9.8000000000000007</v>
      </c>
      <c r="D19" s="41">
        <v>0</v>
      </c>
      <c r="E19" s="42">
        <f>+C19+D19</f>
        <v>9.8000000000000007</v>
      </c>
      <c r="F19" s="31">
        <f>SUM($E$11:E19)</f>
        <v>52.099999999999994</v>
      </c>
      <c r="G19" s="31"/>
      <c r="I19" s="28"/>
      <c r="J19" s="50"/>
    </row>
    <row r="20" spans="1:10" ht="15" x14ac:dyDescent="0.25">
      <c r="A20" s="38"/>
      <c r="B20" s="14"/>
      <c r="C20" s="55"/>
      <c r="D20" s="55"/>
      <c r="E20" s="56"/>
      <c r="F20" s="31"/>
      <c r="G20" s="31"/>
      <c r="H20" s="31"/>
      <c r="I20" s="54"/>
    </row>
    <row r="21" spans="1:10" ht="15.6" x14ac:dyDescent="0.3">
      <c r="A21" s="35" t="s">
        <v>38</v>
      </c>
      <c r="B21" s="48">
        <v>61700</v>
      </c>
      <c r="C21" s="41">
        <v>12.6</v>
      </c>
      <c r="D21" s="41">
        <v>0</v>
      </c>
      <c r="E21" s="42">
        <f>+C21+D21</f>
        <v>12.6</v>
      </c>
      <c r="F21" s="31">
        <f>SUM($E$11:E21)</f>
        <v>64.699999999999989</v>
      </c>
      <c r="G21" s="31"/>
      <c r="I21" s="28"/>
      <c r="J21" s="50"/>
    </row>
    <row r="22" spans="1:10" ht="15" x14ac:dyDescent="0.25">
      <c r="A22" s="38"/>
      <c r="B22" s="14"/>
      <c r="C22" s="55"/>
      <c r="D22" s="55"/>
      <c r="E22" s="56"/>
      <c r="F22" s="31"/>
      <c r="G22" s="31"/>
      <c r="H22" s="31"/>
      <c r="I22" s="54"/>
    </row>
    <row r="23" spans="1:10" ht="15.6" x14ac:dyDescent="0.3">
      <c r="A23" s="35" t="s">
        <v>39</v>
      </c>
      <c r="B23" s="48">
        <v>61700</v>
      </c>
      <c r="C23" s="41">
        <v>8.1999999999999993</v>
      </c>
      <c r="D23" s="41">
        <v>0</v>
      </c>
      <c r="E23" s="42">
        <f>+C23+D23</f>
        <v>8.1999999999999993</v>
      </c>
      <c r="F23" s="31">
        <f>SUM($E$11:E23)</f>
        <v>72.899999999999991</v>
      </c>
      <c r="G23" s="31"/>
      <c r="I23" s="28"/>
      <c r="J23" s="50"/>
    </row>
    <row r="24" spans="1:10" ht="15" x14ac:dyDescent="0.25">
      <c r="A24" s="38"/>
      <c r="B24" s="14"/>
      <c r="C24" s="55"/>
      <c r="D24" s="55"/>
      <c r="E24" s="56"/>
      <c r="F24" s="31"/>
      <c r="G24" s="31"/>
      <c r="H24" s="31"/>
      <c r="I24" s="54"/>
    </row>
    <row r="25" spans="1:10" ht="15.6" x14ac:dyDescent="0.3">
      <c r="A25" s="35"/>
      <c r="B25" s="48">
        <v>61700</v>
      </c>
      <c r="C25" s="41"/>
      <c r="D25" s="41">
        <v>0</v>
      </c>
      <c r="E25" s="42">
        <f>+C25+D25</f>
        <v>0</v>
      </c>
      <c r="F25" s="31">
        <f>SUM($E$11:E25)</f>
        <v>72.899999999999991</v>
      </c>
      <c r="G25" s="31"/>
      <c r="I25" s="28"/>
      <c r="J25" s="50"/>
    </row>
    <row r="26" spans="1:10" ht="15" x14ac:dyDescent="0.25">
      <c r="A26" s="38"/>
      <c r="B26" s="14"/>
      <c r="C26" s="55"/>
      <c r="D26" s="55"/>
      <c r="E26" s="56"/>
      <c r="F26" s="31"/>
      <c r="G26" s="31"/>
      <c r="H26" s="31"/>
      <c r="I26" s="54"/>
    </row>
    <row r="27" spans="1:10" ht="15.6" x14ac:dyDescent="0.3">
      <c r="A27" s="35"/>
      <c r="B27" s="48">
        <v>61700</v>
      </c>
      <c r="C27" s="41"/>
      <c r="D27" s="41">
        <v>0</v>
      </c>
      <c r="E27" s="42">
        <f>+C27+D27</f>
        <v>0</v>
      </c>
      <c r="F27" s="31">
        <f>SUM($E$11:E27)</f>
        <v>72.899999999999991</v>
      </c>
      <c r="G27" s="31"/>
      <c r="I27" s="28"/>
      <c r="J27" s="50"/>
    </row>
    <row r="28" spans="1:10" ht="15" x14ac:dyDescent="0.25">
      <c r="A28" s="38"/>
      <c r="B28" s="14"/>
      <c r="C28" s="55"/>
      <c r="D28" s="55"/>
      <c r="E28" s="56"/>
      <c r="F28" s="31"/>
      <c r="G28" s="31"/>
      <c r="H28" s="31"/>
      <c r="I28" s="54"/>
    </row>
    <row r="29" spans="1:10" ht="15.6" x14ac:dyDescent="0.3">
      <c r="A29" s="35"/>
      <c r="B29" s="48">
        <v>61700</v>
      </c>
      <c r="C29" s="41"/>
      <c r="D29" s="41">
        <v>0</v>
      </c>
      <c r="E29" s="42">
        <f>+C29+D29</f>
        <v>0</v>
      </c>
      <c r="F29" s="31">
        <f>SUM($E$11:E29)</f>
        <v>72.899999999999991</v>
      </c>
      <c r="G29" s="31"/>
      <c r="I29" s="28"/>
      <c r="J29" s="50"/>
    </row>
    <row r="30" spans="1:10" ht="15" x14ac:dyDescent="0.25">
      <c r="A30" s="38"/>
      <c r="B30" s="14"/>
      <c r="C30" s="55"/>
      <c r="D30" s="55"/>
      <c r="E30" s="56"/>
      <c r="F30" s="31"/>
      <c r="G30" s="31"/>
      <c r="H30" s="31"/>
      <c r="I30" s="54"/>
    </row>
    <row r="31" spans="1:10" ht="15.6" x14ac:dyDescent="0.3">
      <c r="A31" s="35"/>
      <c r="B31" s="48">
        <v>61700</v>
      </c>
      <c r="C31" s="41"/>
      <c r="D31" s="41">
        <v>0</v>
      </c>
      <c r="E31" s="42">
        <f>+C31+D31</f>
        <v>0</v>
      </c>
      <c r="F31" s="31">
        <f>SUM($E$11:E31)</f>
        <v>72.899999999999991</v>
      </c>
      <c r="G31" s="31"/>
      <c r="I31" s="28"/>
      <c r="J31" s="50"/>
    </row>
    <row r="32" spans="1:10" ht="15" x14ac:dyDescent="0.25">
      <c r="A32" s="38"/>
      <c r="B32" s="14"/>
      <c r="C32" s="55"/>
      <c r="D32" s="55"/>
      <c r="E32" s="56"/>
      <c r="F32" s="31"/>
      <c r="G32" s="31"/>
      <c r="H32" s="31"/>
      <c r="I32" s="54"/>
    </row>
    <row r="33" spans="1:10" ht="15.6" x14ac:dyDescent="0.3">
      <c r="A33" s="35"/>
      <c r="B33" s="48">
        <v>61700</v>
      </c>
      <c r="C33" s="41"/>
      <c r="D33" s="41">
        <v>0</v>
      </c>
      <c r="E33" s="42">
        <f>+C33+D33</f>
        <v>0</v>
      </c>
      <c r="F33" s="31">
        <f>SUM($E$11:E33)</f>
        <v>72.899999999999991</v>
      </c>
      <c r="G33" s="31"/>
      <c r="I33" s="28"/>
      <c r="J33" s="50"/>
    </row>
    <row r="34" spans="1:10" ht="15" x14ac:dyDescent="0.25">
      <c r="A34" s="38"/>
      <c r="B34" s="14"/>
      <c r="C34" s="55"/>
      <c r="D34" s="55"/>
      <c r="E34" s="56"/>
      <c r="F34" s="31"/>
      <c r="G34" s="31"/>
      <c r="H34" s="31"/>
      <c r="I34" s="54"/>
    </row>
    <row r="35" spans="1:10" ht="15.6" x14ac:dyDescent="0.3">
      <c r="A35" s="35"/>
      <c r="B35" s="48">
        <v>61700</v>
      </c>
      <c r="C35" s="41"/>
      <c r="D35" s="41">
        <v>0</v>
      </c>
      <c r="E35" s="42">
        <f>+C35+D35</f>
        <v>0</v>
      </c>
      <c r="F35" s="31">
        <f>SUM($E$11:E35)</f>
        <v>72.899999999999991</v>
      </c>
      <c r="G35" s="31"/>
      <c r="I35" s="28"/>
      <c r="J35" s="50"/>
    </row>
    <row r="36" spans="1:10" ht="15" x14ac:dyDescent="0.25">
      <c r="A36" s="38"/>
      <c r="B36" s="14"/>
      <c r="C36" s="55"/>
      <c r="D36" s="55"/>
      <c r="E36" s="56"/>
      <c r="F36" s="31"/>
      <c r="G36" s="31"/>
      <c r="H36" s="31"/>
      <c r="I36" s="54"/>
    </row>
    <row r="37" spans="1:10" ht="15.6" x14ac:dyDescent="0.3">
      <c r="A37" s="35"/>
      <c r="B37" s="48">
        <v>61700</v>
      </c>
      <c r="C37" s="41"/>
      <c r="D37" s="41">
        <v>0</v>
      </c>
      <c r="E37" s="42">
        <f>+C37+D37</f>
        <v>0</v>
      </c>
      <c r="F37" s="31">
        <f>SUM($E$11:E37)</f>
        <v>72.899999999999991</v>
      </c>
      <c r="G37" s="31"/>
      <c r="I37" s="28"/>
      <c r="J37" s="50"/>
    </row>
    <row r="38" spans="1:10" ht="15" x14ac:dyDescent="0.25">
      <c r="A38" s="38"/>
      <c r="B38" s="14"/>
      <c r="C38" s="55"/>
      <c r="D38" s="55"/>
      <c r="E38" s="56"/>
      <c r="F38" s="31"/>
      <c r="G38" s="31"/>
      <c r="H38" s="31"/>
      <c r="I38" s="54"/>
    </row>
    <row r="39" spans="1:10" ht="15.6" x14ac:dyDescent="0.3">
      <c r="A39" s="35"/>
      <c r="B39" s="48">
        <v>61700</v>
      </c>
      <c r="C39" s="41"/>
      <c r="D39" s="41">
        <v>0</v>
      </c>
      <c r="E39" s="42">
        <f>+C39+D39</f>
        <v>0</v>
      </c>
      <c r="F39" s="31">
        <f>SUM($E$11:E39)</f>
        <v>72.899999999999991</v>
      </c>
      <c r="G39" s="31"/>
      <c r="I39" s="28"/>
      <c r="J39" s="50"/>
    </row>
    <row r="40" spans="1:10" ht="15" x14ac:dyDescent="0.25">
      <c r="A40" s="38"/>
      <c r="B40" s="14"/>
      <c r="C40" s="55"/>
      <c r="D40" s="55"/>
      <c r="E40" s="56"/>
      <c r="F40" s="31"/>
      <c r="G40" s="31"/>
      <c r="H40" s="31"/>
      <c r="I40" s="54"/>
    </row>
    <row r="41" spans="1:10" ht="15.6" x14ac:dyDescent="0.3">
      <c r="A41" s="35"/>
      <c r="B41" s="48">
        <v>61700</v>
      </c>
      <c r="C41" s="41"/>
      <c r="D41" s="41">
        <v>0</v>
      </c>
      <c r="E41" s="42">
        <f>+C41+D41</f>
        <v>0</v>
      </c>
      <c r="F41" s="31">
        <f>SUM($E$11:E41)</f>
        <v>72.899999999999991</v>
      </c>
      <c r="G41" s="31"/>
      <c r="I41" s="28"/>
      <c r="J41" s="50"/>
    </row>
    <row r="42" spans="1:10" ht="15" x14ac:dyDescent="0.25">
      <c r="A42" s="38"/>
      <c r="B42" s="14"/>
      <c r="C42" s="55"/>
      <c r="D42" s="55"/>
      <c r="E42" s="56"/>
      <c r="F42" s="31"/>
      <c r="G42" s="31"/>
      <c r="H42" s="31"/>
      <c r="I42" s="54"/>
    </row>
    <row r="43" spans="1:10" ht="15.6" x14ac:dyDescent="0.3">
      <c r="A43" s="35"/>
      <c r="B43" s="48">
        <v>61700</v>
      </c>
      <c r="C43" s="41"/>
      <c r="D43" s="41">
        <v>0</v>
      </c>
      <c r="E43" s="42">
        <f>+C43+D43</f>
        <v>0</v>
      </c>
      <c r="F43" s="31">
        <f>SUM($E$11:E43)</f>
        <v>72.899999999999991</v>
      </c>
      <c r="G43" s="31"/>
      <c r="I43" s="28"/>
      <c r="J43" s="50"/>
    </row>
    <row r="44" spans="1:10" ht="15" x14ac:dyDescent="0.25">
      <c r="A44" s="38"/>
      <c r="B44" s="14"/>
      <c r="C44" s="55"/>
      <c r="D44" s="55"/>
      <c r="E44" s="56"/>
      <c r="F44" s="31"/>
      <c r="G44" s="31"/>
      <c r="H44" s="31"/>
      <c r="I44" s="54"/>
    </row>
    <row r="45" spans="1:10" ht="15.6" x14ac:dyDescent="0.3">
      <c r="A45" s="16" t="s">
        <v>7</v>
      </c>
      <c r="B45" s="16"/>
      <c r="C45" s="57"/>
      <c r="D45" s="57"/>
      <c r="E45" s="58">
        <f>ROUND(SUM(E9:E43),2)</f>
        <v>83.9</v>
      </c>
    </row>
    <row r="46" spans="1:10" x14ac:dyDescent="0.25">
      <c r="A46" s="14"/>
      <c r="B46" s="14"/>
      <c r="C46" s="55"/>
      <c r="D46" s="57"/>
      <c r="E46" s="55"/>
    </row>
    <row r="47" spans="1:10" x14ac:dyDescent="0.25">
      <c r="A47" s="12"/>
      <c r="B47" s="12"/>
      <c r="C47" s="71"/>
      <c r="D47" s="60"/>
      <c r="E47" s="61"/>
    </row>
    <row r="48" spans="1:10" s="3" customFormat="1" ht="17.399999999999999" x14ac:dyDescent="0.3">
      <c r="A48" s="62" t="str">
        <f>+"Amount Paid  :  S$"&amp;E45&amp;""</f>
        <v>Amount Paid  :  S$83.9</v>
      </c>
      <c r="B48" s="74" t="str">
        <f ca="1">+MID(CELL("filename"),57,13)</f>
        <v>che\Content.O</v>
      </c>
      <c r="C48" s="75"/>
      <c r="D48" s="65"/>
      <c r="E48" s="66" t="s">
        <v>19</v>
      </c>
    </row>
    <row r="49" spans="1:5" x14ac:dyDescent="0.25">
      <c r="A49" s="14"/>
      <c r="B49" s="14"/>
      <c r="C49" s="55"/>
      <c r="D49" s="68"/>
      <c r="E49" s="56"/>
    </row>
    <row r="50" spans="1:5" x14ac:dyDescent="0.25">
      <c r="A50" s="12"/>
      <c r="B50" s="12"/>
      <c r="C50" s="18"/>
      <c r="D50" s="18"/>
      <c r="E50" s="13"/>
    </row>
    <row r="51" spans="1:5" s="3" customFormat="1" x14ac:dyDescent="0.25">
      <c r="A51" s="16" t="s">
        <v>8</v>
      </c>
      <c r="B51" s="16" t="s">
        <v>9</v>
      </c>
      <c r="C51" s="4"/>
      <c r="D51" s="4"/>
      <c r="E51" s="17"/>
    </row>
    <row r="52" spans="1:5" s="3" customFormat="1" x14ac:dyDescent="0.25">
      <c r="A52" s="16"/>
      <c r="B52" s="16"/>
      <c r="C52" s="4"/>
      <c r="D52" s="4"/>
      <c r="E52" s="17"/>
    </row>
    <row r="53" spans="1:5" x14ac:dyDescent="0.25">
      <c r="A53" s="14"/>
      <c r="B53" s="14"/>
      <c r="C53" s="19"/>
      <c r="D53" s="19"/>
      <c r="E53" s="15"/>
    </row>
  </sheetData>
  <mergeCells count="1">
    <mergeCell ref="B48:C48"/>
  </mergeCells>
  <phoneticPr fontId="4" type="noConversion"/>
  <pageMargins left="0.55118110236220474" right="0" top="0.59055118110236227" bottom="0" header="0.51181102362204722" footer="0.51181102362204722"/>
  <pageSetup paperSize="9" scale="80" orientation="portrait" r:id="rId1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3891d1-e5e5-4b6a-bc37-70479d279200" xsi:nil="true"/>
    <lcf76f155ced4ddcb4097134ff3c332f xmlns="097fc989-8e4c-4fc7-96ea-2f3c4d4e96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A17FCFB18A84F876255C35AD68B22" ma:contentTypeVersion="14" ma:contentTypeDescription="Create a new document." ma:contentTypeScope="" ma:versionID="0eb1634d85377f52b15a581ffa422845">
  <xsd:schema xmlns:xsd="http://www.w3.org/2001/XMLSchema" xmlns:xs="http://www.w3.org/2001/XMLSchema" xmlns:p="http://schemas.microsoft.com/office/2006/metadata/properties" xmlns:ns2="097fc989-8e4c-4fc7-96ea-2f3c4d4e9692" xmlns:ns3="a03891d1-e5e5-4b6a-bc37-70479d279200" targetNamespace="http://schemas.microsoft.com/office/2006/metadata/properties" ma:root="true" ma:fieldsID="e4ed2375bab5ba6cbeadbad4b2ddc98b" ns2:_="" ns3:_="">
    <xsd:import namespace="097fc989-8e4c-4fc7-96ea-2f3c4d4e9692"/>
    <xsd:import namespace="a03891d1-e5e5-4b6a-bc37-70479d2792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fc989-8e4c-4fc7-96ea-2f3c4d4e9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4e721e0-8e5e-45c1-b91f-298dc46347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891d1-e5e5-4b6a-bc37-70479d27920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1191e37-5520-4871-88cc-6369144399aa}" ma:internalName="TaxCatchAll" ma:showField="CatchAllData" ma:web="a03891d1-e5e5-4b6a-bc37-70479d2792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63E89C-3A49-4854-8B19-DC6B970F5039}">
  <ds:schemaRefs>
    <ds:schemaRef ds:uri="http://schemas.microsoft.com/office/2006/metadata/properties"/>
    <ds:schemaRef ds:uri="http://schemas.microsoft.com/office/infopath/2007/PartnerControls"/>
    <ds:schemaRef ds:uri="a03891d1-e5e5-4b6a-bc37-70479d279200"/>
    <ds:schemaRef ds:uri="097fc989-8e4c-4fc7-96ea-2f3c4d4e9692"/>
  </ds:schemaRefs>
</ds:datastoreItem>
</file>

<file path=customXml/itemProps2.xml><?xml version="1.0" encoding="utf-8"?>
<ds:datastoreItem xmlns:ds="http://schemas.openxmlformats.org/officeDocument/2006/customXml" ds:itemID="{BCC53AB7-D3E4-4D14-A1C0-10A9B135E1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18187B-D539-4CCD-B155-363B0E44E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7fc989-8e4c-4fc7-96ea-2f3c4d4e9692"/>
    <ds:schemaRef ds:uri="a03891d1-e5e5-4b6a-bc37-70479d2792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Blank </vt:lpstr>
      <vt:lpstr>Cabs</vt:lpstr>
      <vt:lpstr>'Blank '!Print_Area</vt:lpstr>
      <vt:lpstr>Cabs!Print_Area</vt:lpstr>
    </vt:vector>
  </TitlesOfParts>
  <Company>Jabre Capital Partners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jlow</dc:creator>
  <cp:lastModifiedBy>Dawn Koh</cp:lastModifiedBy>
  <cp:lastPrinted>2026-04-29T07:23:27Z</cp:lastPrinted>
  <dcterms:created xsi:type="dcterms:W3CDTF">2007-09-04T14:46:14Z</dcterms:created>
  <dcterms:modified xsi:type="dcterms:W3CDTF">2026-05-21T09:35:20Z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0x010100B8FA17FCFB18A84F876255C35AD68B22</vt:lpwstr>
  </property>
  <property fmtid="{D5CDD505-2E9C-101B-9397-08002B2CF9AE}" pid="3" name="Order">
    <vt:r8>4177400</vt:r8>
  </property>
  <property fmtid="{D5CDD505-2E9C-101B-9397-08002B2CF9AE}" pid="4" name="MediaServiceImageTags">
    <vt:lpwstr/>
  </property>
</Properties>
</file>